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 position overview\"/>
    </mc:Choice>
  </mc:AlternateContent>
  <xr:revisionPtr revIDLastSave="0" documentId="13_ncr:1_{159CD6AF-9F21-4348-9B88-FFA49910BCE9}" xr6:coauthVersionLast="47" xr6:coauthVersionMax="47" xr10:uidLastSave="{00000000-0000-0000-0000-000000000000}"/>
  <bookViews>
    <workbookView xWindow="-120" yWindow="-120" windowWidth="29040" windowHeight="15720" activeTab="3" xr2:uid="{2F8129BF-F2C9-4B49-BFD0-0C22A6725B9C}"/>
  </bookViews>
  <sheets>
    <sheet name="Position overview" sheetId="1" r:id="rId1"/>
    <sheet name="Wind" sheetId="3" r:id="rId2"/>
    <sheet name="Solar" sheetId="2" r:id="rId3"/>
    <sheet name="EXPO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  <c r="G4" i="3"/>
  <c r="G5" i="3"/>
  <c r="F3" i="3"/>
  <c r="G3" i="3" s="1"/>
  <c r="F4" i="3"/>
  <c r="F5" i="3"/>
  <c r="F2" i="3"/>
  <c r="G2" i="3" s="1"/>
  <c r="H3" i="1" l="1"/>
  <c r="H4" i="1"/>
  <c r="H5" i="1"/>
  <c r="H2" i="1"/>
  <c r="G4" i="1" l="1"/>
  <c r="I4" i="1" s="1"/>
  <c r="G5" i="1"/>
  <c r="I5" i="1" s="1"/>
  <c r="G3" i="1"/>
  <c r="I3" i="1" s="1"/>
  <c r="G2" i="1"/>
  <c r="I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tc={40FC3F4E-D8CD-4F8F-835C-8714734AE6CC}</author>
    <author>tc={43AD7866-9CC2-47D0-B9E5-074023518798}</author>
    <author>tc={E432CB7D-8F31-460B-8FFE-B7AC2546EE59}</author>
  </authors>
  <commentList>
    <comment ref="J1" authorId="0" shapeId="0" xr:uid="{40FC3F4E-D8CD-4F8F-835C-8714734AE6CC}">
      <text>
        <t>[Threaded comment]
Your version of Excel allows you to read this threaded comment; however, any edits to it will get removed if the file is opened in a newer version of Excel. Learn more: https://go.microsoft.com/fwlink/?linkid=870924
Comment:
    (Dexter DA line (already accounts for DA unsold volumes)</t>
      </text>
    </comment>
    <comment ref="K1" authorId="1" shapeId="0" xr:uid="{43AD7866-9CC2-47D0-B9E5-074023518798}">
      <text>
        <t>[Threaded comment]
Your version of Excel allows you to read this threaded comment; however, any edits to it will get removed if the file is opened in a newer version of Excel. Learn more: https://go.microsoft.com/fwlink/?linkid=870924
Comment:
    Upscaled</t>
      </text>
    </comment>
    <comment ref="P1" authorId="2" shapeId="0" xr:uid="{E432CB7D-8F31-460B-8FFE-B7AC2546EE59}">
      <text>
        <t>[Threaded comment]
Your version of Excel allows you to read this threaded comment; however, any edits to it will get removed if the file is opened in a newer version of Excel. Learn more: https://go.microsoft.com/fwlink/?linkid=870924
Comment:
    DA forecast ebase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tc={E4A0EF07-F6DC-4A2D-BF38-0BF04DD5F160}</author>
    <author>tc={F33A2022-F407-4486-8A69-E3A6481C5A40}</author>
  </authors>
  <commentList>
    <comment ref="C1" authorId="0" shapeId="0" xr:uid="{E4A0EF07-F6DC-4A2D-BF38-0BF04DD5F160}">
      <text>
        <t>[Threaded comment]
Your version of Excel allows you to read this threaded comment; however, any edits to it will get removed if the file is opened in a newer version of Excel. Learn more: https://go.microsoft.com/fwlink/?linkid=870924
Comment:
    (Dexter DA line (already accounts for DA unsold volumes)</t>
      </text>
    </comment>
    <comment ref="D1" authorId="1" shapeId="0" xr:uid="{F33A2022-F407-4486-8A69-E3A6481C5A40}">
      <text>
        <t>[Threaded comment]
Your version of Excel allows you to read this threaded comment; however, any edits to it will get removed if the file is opened in a newer version of Excel. Learn more: https://go.microsoft.com/fwlink/?linkid=870924
Comment:
    Upscaled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tc={9E90596D-956F-441C-B5FD-52FEEF779A48}</author>
  </authors>
  <commentList>
    <comment ref="C1" authorId="0" shapeId="0" xr:uid="{9E90596D-956F-441C-B5FD-52FEEF77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DA forecast ebase</t>
      </text>
    </comment>
  </commentList>
</comments>
</file>

<file path=xl/sharedStrings.xml><?xml version="1.0" encoding="utf-8"?>
<sst xmlns="http://schemas.openxmlformats.org/spreadsheetml/2006/main" count="254" uniqueCount="41">
  <si>
    <t>Wind DA</t>
  </si>
  <si>
    <t>Wind realization</t>
  </si>
  <si>
    <t>Nowcast DA sold</t>
  </si>
  <si>
    <t>Nowcast realization</t>
  </si>
  <si>
    <t>LargePV DA sold</t>
  </si>
  <si>
    <t>Large pv realization</t>
  </si>
  <si>
    <t>total largepv realization</t>
  </si>
  <si>
    <t>DA position</t>
  </si>
  <si>
    <t>ID trades</t>
  </si>
  <si>
    <t>PTU</t>
  </si>
  <si>
    <t>Time</t>
  </si>
  <si>
    <t>Solar position H2H</t>
  </si>
  <si>
    <t>Solar delta</t>
  </si>
  <si>
    <t>Flex</t>
  </si>
  <si>
    <t>hvsQ</t>
  </si>
  <si>
    <t>23:45-00:00</t>
  </si>
  <si>
    <t>Wind delta</t>
  </si>
  <si>
    <t>17-03-2026 00:00-00:15</t>
  </si>
  <si>
    <t>17-03-2026 00:15-00:30</t>
  </si>
  <si>
    <t>17-03-2026 00:30-00:45</t>
  </si>
  <si>
    <t>17-03-2026 00:45-01:00</t>
  </si>
  <si>
    <t>17-03-2026 01:00-01:15</t>
  </si>
  <si>
    <t>Quarters</t>
  </si>
  <si>
    <t>buy</t>
  </si>
  <si>
    <t>sell</t>
  </si>
  <si>
    <t>PTE</t>
  </si>
  <si>
    <t>start</t>
  </si>
  <si>
    <t>end</t>
  </si>
  <si>
    <t>E/MWh</t>
  </si>
  <si>
    <t>MW</t>
  </si>
  <si>
    <t>Fill in price!</t>
  </si>
  <si>
    <t>Large PV park estimation (parks with no realization)</t>
  </si>
  <si>
    <t>total largepv expected realization</t>
  </si>
  <si>
    <t>Wind parks with realization</t>
  </si>
  <si>
    <t>Wind parks with no realization</t>
  </si>
  <si>
    <t>Wind total expected realization</t>
  </si>
  <si>
    <t>Total ID position forecast</t>
  </si>
  <si>
    <t>Total ID position realization</t>
  </si>
  <si>
    <t>Nowcast realization overwrite</t>
  </si>
  <si>
    <t>total largepv realization overwrite</t>
  </si>
  <si>
    <t>Wind realization overwrite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</si>
</sst>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\:mm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24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5" fillId="2" borderId="0" applyBorder="0" applyProtection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3" fillId="0" borderId="0" xfId="1"/>
    <xf numFmtId="0" fontId="4" fillId="0" borderId="0" xfId="1" applyFont="1"/>
    <xf numFmtId="14" fontId="6" fillId="0" borderId="0" xfId="1" applyNumberFormat="1" applyFont="1"/>
    <xf numFmtId="0" fontId="6" fillId="0" borderId="0" xfId="1" applyFont="1"/>
    <xf numFmtId="164" fontId="6" fillId="0" borderId="0" xfId="1" applyNumberFormat="1" applyFont="1"/>
    <xf numFmtId="0" fontId="0" fillId="3" borderId="1" xfId="0" applyFill="1" applyBorder="1"/>
  </cellXfs>
  <cellStyles count="3">
    <cellStyle name="Explanatory Text 2" xfId="2" xr:uid="{D6C3DE10-C9BD-4621-B6ED-0E17B18C09C2}"/>
    <cellStyle name="Normal" xfId="0" builtinId="0"/>
    <cellStyle name="Normal 2" xfId="1" xr:uid="{4E01BCEB-4528-4B7E-9BD9-AF39D3DBF1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arten van der Meulen" id="{7BDDF4FA-6901-4FA5-AB23-1CA403EB0DFD}" userId="S::maarten.vandermeulen@greenchoice.nl::8085e45e-b8c8-4d2c-8f84-6c95e03287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12-24T10:18:14.23" personId="{7BDDF4FA-6901-4FA5-AB23-1CA403EB0DFD}" id="{40FC3F4E-D8CD-4F8F-835C-8714734AE6CC}">
    <text>(Dexter DA line (already accounts for DA unsold volumes)</text>
  </threadedComment>
  <threadedComment ref="K1" dT="2025-12-24T10:36:17.64" personId="{7BDDF4FA-6901-4FA5-AB23-1CA403EB0DFD}" id="{43AD7866-9CC2-47D0-B9E5-074023518798}">
    <text>Upscaled</text>
  </threadedComment>
  <threadedComment ref="P1" dT="2025-12-24T10:36:58.21" personId="{7BDDF4FA-6901-4FA5-AB23-1CA403EB0DFD}" id="{E432CB7D-8F31-460B-8FFE-B7AC2546EE59}">
    <text>DA forecast ebase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12-24T10:18:14.23" personId="{7BDDF4FA-6901-4FA5-AB23-1CA403EB0DFD}" id="{E4A0EF07-F6DC-4A2D-BF38-0BF04DD5F160}">
    <text>(Dexter DA line (already accounts for DA unsold volumes)</text>
  </threadedComment>
  <threadedComment ref="D1" dT="2025-12-24T10:36:17.64" personId="{7BDDF4FA-6901-4FA5-AB23-1CA403EB0DFD}" id="{F33A2022-F407-4486-8A69-E3A6481C5A40}">
    <text>Upscaled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12-24T10:36:58.21" personId="{7BDDF4FA-6901-4FA5-AB23-1CA403EB0DFD}" id="{9E90596D-956F-441C-B5FD-52FEEF779A48}">
    <text>DA forecast ebase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5BCC-A9F3-4A8F-8831-DCF405B330DD}">
  <dimension ref="A1:T97"/>
  <sheetViews>
    <sheetView workbookViewId="0">
      <selection activeCell="L4" sqref="L4"/>
    </sheetView>
  </sheetViews>
  <sheetFormatPr defaultRowHeight="15" x14ac:dyDescent="0.25"/>
  <cols>
    <col min="2" max="2" width="10.85546875" bestFit="1" customWidth="1"/>
    <col min="3" max="3" width="21" style="1" bestFit="1" customWidth="1"/>
    <col min="4" max="4" width="23.42578125" style="2" bestFit="1" customWidth="1"/>
    <col min="5" max="5" width="8.85546875" style="4" bestFit="1" customWidth="1"/>
    <col min="6" max="6" width="10" style="4" bestFit="1" customWidth="1"/>
    <col min="7" max="7" width="17.5703125" bestFit="1" customWidth="1"/>
    <col min="8" max="8" width="17.5703125" customWidth="1"/>
    <col min="9" max="9" width="17.5703125" style="3" customWidth="1"/>
    <col min="10" max="10" width="8.42578125" bestFit="1" customWidth="1"/>
    <col min="11" max="11" width="29.28515625" bestFit="1" customWidth="1"/>
    <col min="12" max="12" width="29.28515625" style="10" customWidth="1"/>
    <col min="13" max="13" width="18.85546875" bestFit="1" customWidth="1"/>
    <col min="14" max="14" width="18.85546875" customWidth="1"/>
    <col min="15" max="15" width="16.85546875" style="10" bestFit="1" customWidth="1"/>
    <col min="16" max="16" width="18.28515625" bestFit="1" customWidth="1"/>
    <col min="17" max="17" width="18.28515625" customWidth="1"/>
    <col min="18" max="18" width="30.85546875" style="10" bestFit="1" customWidth="1"/>
  </cols>
  <sheetData>
    <row r="1" spans="1:20" x14ac:dyDescent="0.25">
      <c r="A1" t="s">
        <v>9</v>
      </c>
      <c r="B1" t="s">
        <v>10</v>
      </c>
      <c r="C1" s="1" t="s">
        <v>36</v>
      </c>
      <c r="D1" s="2" t="s">
        <v>37</v>
      </c>
      <c r="E1" s="4" t="s">
        <v>8</v>
      </c>
      <c r="F1" s="4" t="s">
        <v>7</v>
      </c>
      <c r="G1" t="s">
        <v>11</v>
      </c>
      <c r="H1" t="s">
        <v>12</v>
      </c>
      <c r="I1" s="3" t="s">
        <v>14</v>
      </c>
      <c r="J1" t="s">
        <v>0</v>
      </c>
      <c r="K1" t="s">
        <v>1</v>
      </c>
      <c r="L1" s="10" t="s">
        <v>40</v>
      </c>
      <c r="M1" t="s">
        <v>2</v>
      </c>
      <c r="N1" t="s">
        <v>3</v>
      </c>
      <c r="O1" s="10" t="s">
        <v>38</v>
      </c>
      <c r="P1" t="s">
        <v>4</v>
      </c>
      <c r="Q1" t="s">
        <v>6</v>
      </c>
      <c r="R1" s="10" t="s">
        <v>39</v>
      </c>
      <c r="T1" t="s">
        <v>13</v>
      </c>
    </row>
    <row r="2" spans="1:20" x14ac:dyDescent="0.25">
      <c r="A2">
        <v>1</v>
      </c>
      <c r="B2" t="s">
        <v>17</v>
      </c>
      <c r="C2" s="1">
        <f>E2+(IF(L2=0,K2,L2)-J2)+(IF(O2=0,N2,O2)-M2)+(IF(R2=0,Q2,R2)-P2)+F2</f>
        <v>70</v>
      </c>
      <c r="D2" s="2">
        <v>80</v>
      </c>
      <c r="E2" s="4">
        <v>10</v>
      </c>
      <c r="F2" s="4">
        <v>100</v>
      </c>
      <c r="G2">
        <f>+AVERAGE(H2:H5)</f>
        <v>-650</v>
      </c>
      <c r="H2">
        <f>+O2-M2+(R2-P2)</f>
        <v>-650</v>
      </c>
      <c r="I2" s="3">
        <f>H2-G2</f>
        <v>0</v>
      </c>
      <c r="J2">
        <v>550</v>
      </c>
      <c r="K2">
        <v>570</v>
      </c>
      <c r="L2" s="10">
        <v>0</v>
      </c>
      <c r="M2">
        <v>250</v>
      </c>
      <c r="N2">
        <v>240</v>
      </c>
      <c r="O2" s="10">
        <v>0</v>
      </c>
      <c r="P2">
        <v>400</v>
      </c>
      <c r="Q2">
        <v>350</v>
      </c>
      <c r="R2" s="10">
        <v>0</v>
      </c>
    </row>
    <row r="3" spans="1:20" x14ac:dyDescent="0.25">
      <c r="A3">
        <v>2</v>
      </c>
      <c r="B3" t="s">
        <v>18</v>
      </c>
      <c r="C3" s="1">
        <f t="shared" ref="C3:C5" si="0">E3+(IF(L3=0,K3,L3)-J3)+(IF(O3=0,N3,O3)-M3)+(IF(R3=0,Q3,R3)-P3)+F3</f>
        <v>70</v>
      </c>
      <c r="D3" s="2">
        <v>100</v>
      </c>
      <c r="E3" s="4">
        <v>30</v>
      </c>
      <c r="F3" s="4">
        <v>50</v>
      </c>
      <c r="G3">
        <f>+AVERAGE(H2:H5)</f>
        <v>-650</v>
      </c>
      <c r="H3">
        <f>+O3-M3+(R3-P3)</f>
        <v>-650</v>
      </c>
      <c r="I3" s="3">
        <f>H3-G3</f>
        <v>0</v>
      </c>
      <c r="J3">
        <v>550</v>
      </c>
      <c r="K3">
        <v>550</v>
      </c>
      <c r="L3" s="10">
        <v>0</v>
      </c>
      <c r="M3">
        <v>250</v>
      </c>
      <c r="N3">
        <v>250</v>
      </c>
      <c r="O3" s="10">
        <v>0</v>
      </c>
      <c r="P3">
        <v>400</v>
      </c>
      <c r="Q3">
        <v>390</v>
      </c>
      <c r="R3" s="10">
        <v>0</v>
      </c>
    </row>
    <row r="4" spans="1:20" x14ac:dyDescent="0.25">
      <c r="A4">
        <v>3</v>
      </c>
      <c r="B4" t="s">
        <v>19</v>
      </c>
      <c r="C4" s="1">
        <f t="shared" si="0"/>
        <v>60</v>
      </c>
      <c r="D4" s="2">
        <v>60</v>
      </c>
      <c r="E4" s="4">
        <v>40</v>
      </c>
      <c r="F4" s="4">
        <v>20</v>
      </c>
      <c r="G4">
        <f>+AVERAGE(H2:H5)</f>
        <v>-650</v>
      </c>
      <c r="H4">
        <f>+O4-M4+(R4-P4)</f>
        <v>-650</v>
      </c>
      <c r="I4" s="3">
        <f>H4-G4</f>
        <v>0</v>
      </c>
      <c r="J4">
        <v>550</v>
      </c>
      <c r="K4">
        <v>530</v>
      </c>
      <c r="L4" s="10">
        <v>0</v>
      </c>
      <c r="M4">
        <v>250</v>
      </c>
      <c r="N4">
        <v>240</v>
      </c>
      <c r="O4" s="10">
        <v>0</v>
      </c>
      <c r="P4">
        <v>400</v>
      </c>
      <c r="Q4">
        <v>430</v>
      </c>
      <c r="R4" s="10">
        <v>0</v>
      </c>
    </row>
    <row r="5" spans="1:20" x14ac:dyDescent="0.25">
      <c r="A5">
        <v>4</v>
      </c>
      <c r="B5" t="s">
        <v>20</v>
      </c>
      <c r="C5" s="1">
        <f t="shared" si="0"/>
        <v>30</v>
      </c>
      <c r="D5" s="2">
        <v>50</v>
      </c>
      <c r="E5" s="4">
        <v>-10</v>
      </c>
      <c r="F5" s="4">
        <v>-20</v>
      </c>
      <c r="G5">
        <f>+AVERAGE(H2:H5)</f>
        <v>-650</v>
      </c>
      <c r="H5">
        <f>+O5-M5+(R5-P5)</f>
        <v>-650</v>
      </c>
      <c r="I5" s="3">
        <f>H5-G5</f>
        <v>0</v>
      </c>
      <c r="J5">
        <v>550</v>
      </c>
      <c r="K5">
        <v>510</v>
      </c>
      <c r="L5" s="10">
        <v>0</v>
      </c>
      <c r="M5">
        <v>250</v>
      </c>
      <c r="N5">
        <v>280</v>
      </c>
      <c r="O5" s="10">
        <v>0</v>
      </c>
      <c r="P5">
        <v>400</v>
      </c>
      <c r="Q5">
        <v>470</v>
      </c>
      <c r="R5" s="10">
        <v>0</v>
      </c>
    </row>
    <row r="6" spans="1:20" x14ac:dyDescent="0.25">
      <c r="A6">
        <v>5</v>
      </c>
      <c r="B6" t="s">
        <v>21</v>
      </c>
    </row>
    <row r="7" spans="1:20" x14ac:dyDescent="0.25">
      <c r="A7">
        <v>6</v>
      </c>
    </row>
    <row r="8" spans="1:20" x14ac:dyDescent="0.25">
      <c r="A8">
        <v>7</v>
      </c>
    </row>
    <row r="9" spans="1:20" x14ac:dyDescent="0.25">
      <c r="A9">
        <v>8</v>
      </c>
    </row>
    <row r="10" spans="1:20" x14ac:dyDescent="0.25">
      <c r="A10">
        <v>9</v>
      </c>
    </row>
    <row r="11" spans="1:20" x14ac:dyDescent="0.25">
      <c r="A11">
        <v>10</v>
      </c>
    </row>
    <row r="12" spans="1:20" x14ac:dyDescent="0.25">
      <c r="A12">
        <v>11</v>
      </c>
    </row>
    <row r="13" spans="1:20" x14ac:dyDescent="0.25">
      <c r="A13">
        <v>12</v>
      </c>
    </row>
    <row r="14" spans="1:20" x14ac:dyDescent="0.25">
      <c r="A14">
        <v>13</v>
      </c>
    </row>
    <row r="15" spans="1:20" x14ac:dyDescent="0.25">
      <c r="A15">
        <v>14</v>
      </c>
    </row>
    <row r="16" spans="1:20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2" x14ac:dyDescent="0.25">
      <c r="A97">
        <v>96</v>
      </c>
      <c r="B97" t="s">
        <v>15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31C-9D9F-4442-836C-68EEF213F5F4}">
  <dimension ref="A1:G97"/>
  <sheetViews>
    <sheetView workbookViewId="0">
      <selection activeCell="E6" sqref="E6"/>
    </sheetView>
  </sheetViews>
  <sheetFormatPr defaultRowHeight="15" x14ac:dyDescent="0.25"/>
  <cols>
    <col min="2" max="2" width="10.85546875" bestFit="1" customWidth="1"/>
    <col min="3" max="3" width="8.42578125" bestFit="1" customWidth="1"/>
    <col min="4" max="4" width="29.28515625" bestFit="1" customWidth="1"/>
    <col min="5" max="6" width="29.28515625" customWidth="1"/>
    <col min="7" max="7" width="29.28515625" style="3" customWidth="1"/>
  </cols>
  <sheetData>
    <row r="1" spans="1:7" x14ac:dyDescent="0.25">
      <c r="A1" t="s">
        <v>9</v>
      </c>
      <c r="B1" t="s">
        <v>10</v>
      </c>
      <c r="C1" t="s">
        <v>0</v>
      </c>
      <c r="D1" t="s">
        <v>33</v>
      </c>
      <c r="E1" t="s">
        <v>34</v>
      </c>
      <c r="F1" t="s">
        <v>35</v>
      </c>
      <c r="G1" s="3" t="s">
        <v>16</v>
      </c>
    </row>
    <row r="2" spans="1:7" x14ac:dyDescent="0.25">
      <c r="A2">
        <v>1</v>
      </c>
      <c r="B2" t="s">
        <v>17</v>
      </c>
      <c r="C2">
        <v>550</v>
      </c>
      <c r="D2">
        <v>320</v>
      </c>
      <c r="E2">
        <v>250</v>
      </c>
      <c r="F2">
        <f>D2+E2</f>
        <v>570</v>
      </c>
      <c r="G2" s="3">
        <f>F2-C2</f>
        <v>20</v>
      </c>
    </row>
    <row r="3" spans="1:7" x14ac:dyDescent="0.25">
      <c r="A3">
        <v>2</v>
      </c>
      <c r="B3" t="s">
        <v>18</v>
      </c>
      <c r="C3">
        <v>550</v>
      </c>
      <c r="D3">
        <v>350</v>
      </c>
      <c r="E3">
        <v>200</v>
      </c>
      <c r="F3">
        <f t="shared" ref="F3:F5" si="0">D3+E3</f>
        <v>550</v>
      </c>
      <c r="G3" s="3">
        <f t="shared" ref="G3:G5" si="1">F3-C3</f>
        <v>0</v>
      </c>
    </row>
    <row r="4" spans="1:7" x14ac:dyDescent="0.25">
      <c r="A4">
        <v>3</v>
      </c>
      <c r="B4" t="s">
        <v>19</v>
      </c>
      <c r="C4">
        <v>550</v>
      </c>
      <c r="D4">
        <v>300</v>
      </c>
      <c r="E4">
        <v>230</v>
      </c>
      <c r="F4">
        <f t="shared" si="0"/>
        <v>530</v>
      </c>
      <c r="G4" s="3">
        <f t="shared" si="1"/>
        <v>-20</v>
      </c>
    </row>
    <row r="5" spans="1:7" x14ac:dyDescent="0.25">
      <c r="A5">
        <v>4</v>
      </c>
      <c r="B5" t="s">
        <v>20</v>
      </c>
      <c r="C5">
        <v>550</v>
      </c>
      <c r="D5">
        <v>350</v>
      </c>
      <c r="E5">
        <v>180</v>
      </c>
      <c r="F5">
        <f t="shared" si="0"/>
        <v>530</v>
      </c>
      <c r="G5" s="3">
        <f t="shared" si="1"/>
        <v>-20</v>
      </c>
    </row>
    <row r="6" spans="1:7" x14ac:dyDescent="0.25">
      <c r="A6">
        <v>5</v>
      </c>
      <c r="B6" t="s">
        <v>21</v>
      </c>
    </row>
    <row r="7" spans="1:7" x14ac:dyDescent="0.25">
      <c r="A7">
        <v>6</v>
      </c>
    </row>
    <row r="8" spans="1:7" x14ac:dyDescent="0.25">
      <c r="A8">
        <v>7</v>
      </c>
    </row>
    <row r="9" spans="1:7" x14ac:dyDescent="0.25">
      <c r="A9">
        <v>8</v>
      </c>
    </row>
    <row r="10" spans="1:7" x14ac:dyDescent="0.25">
      <c r="A10">
        <v>9</v>
      </c>
    </row>
    <row r="11" spans="1:7" x14ac:dyDescent="0.25">
      <c r="A11">
        <v>10</v>
      </c>
    </row>
    <row r="12" spans="1:7" x14ac:dyDescent="0.25">
      <c r="A12">
        <v>11</v>
      </c>
    </row>
    <row r="13" spans="1:7" x14ac:dyDescent="0.25">
      <c r="A13">
        <v>12</v>
      </c>
    </row>
    <row r="14" spans="1:7" x14ac:dyDescent="0.25">
      <c r="A14">
        <v>13</v>
      </c>
    </row>
    <row r="15" spans="1:7" x14ac:dyDescent="0.25">
      <c r="A15">
        <v>14</v>
      </c>
    </row>
    <row r="16" spans="1:7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2" x14ac:dyDescent="0.25">
      <c r="A97">
        <v>96</v>
      </c>
      <c r="B97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DD58-E2B7-48CB-9F66-C7E80492EB89}">
  <dimension ref="A1:I97"/>
  <sheetViews>
    <sheetView workbookViewId="0">
      <selection activeCell="E17" sqref="E17"/>
    </sheetView>
  </sheetViews>
  <sheetFormatPr defaultRowHeight="15" x14ac:dyDescent="0.25"/>
  <cols>
    <col min="2" max="2" width="10.85546875" bestFit="1" customWidth="1"/>
    <col min="3" max="3" width="18.28515625" bestFit="1" customWidth="1"/>
    <col min="4" max="5" width="37.5703125" bestFit="1" customWidth="1"/>
    <col min="6" max="6" width="30.5703125" style="3" bestFit="1" customWidth="1"/>
    <col min="8" max="8" width="18.85546875" bestFit="1" customWidth="1"/>
    <col min="9" max="9" width="18.85546875" style="3" customWidth="1"/>
  </cols>
  <sheetData>
    <row r="1" spans="1:9" x14ac:dyDescent="0.25">
      <c r="A1" t="s">
        <v>9</v>
      </c>
      <c r="B1" t="s">
        <v>10</v>
      </c>
      <c r="C1" t="s">
        <v>4</v>
      </c>
      <c r="D1" t="s">
        <v>5</v>
      </c>
      <c r="E1" t="s">
        <v>31</v>
      </c>
      <c r="F1" s="3" t="s">
        <v>32</v>
      </c>
      <c r="H1" t="s">
        <v>2</v>
      </c>
      <c r="I1" s="3" t="s">
        <v>3</v>
      </c>
    </row>
    <row r="2" spans="1:9" x14ac:dyDescent="0.25">
      <c r="A2">
        <v>1</v>
      </c>
      <c r="B2" t="s">
        <v>17</v>
      </c>
      <c r="C2">
        <v>400</v>
      </c>
      <c r="D2">
        <v>150</v>
      </c>
      <c r="E2">
        <v>200</v>
      </c>
      <c r="F2" s="3">
        <v>350</v>
      </c>
      <c r="H2">
        <v>250</v>
      </c>
      <c r="I2" s="3">
        <v>240</v>
      </c>
    </row>
    <row r="3" spans="1:9" x14ac:dyDescent="0.25">
      <c r="A3">
        <v>2</v>
      </c>
      <c r="B3" t="s">
        <v>18</v>
      </c>
      <c r="C3">
        <v>400</v>
      </c>
      <c r="D3">
        <v>170</v>
      </c>
      <c r="E3">
        <v>220</v>
      </c>
      <c r="F3" s="3">
        <v>390</v>
      </c>
      <c r="H3">
        <v>250</v>
      </c>
      <c r="I3" s="3">
        <v>250</v>
      </c>
    </row>
    <row r="4" spans="1:9" x14ac:dyDescent="0.25">
      <c r="A4">
        <v>3</v>
      </c>
      <c r="B4" t="s">
        <v>19</v>
      </c>
      <c r="C4">
        <v>400</v>
      </c>
      <c r="D4">
        <v>190</v>
      </c>
      <c r="E4">
        <v>240</v>
      </c>
      <c r="F4" s="3">
        <v>430</v>
      </c>
      <c r="H4">
        <v>250</v>
      </c>
      <c r="I4" s="3">
        <v>240</v>
      </c>
    </row>
    <row r="5" spans="1:9" x14ac:dyDescent="0.25">
      <c r="A5">
        <v>4</v>
      </c>
      <c r="B5" t="s">
        <v>20</v>
      </c>
      <c r="C5">
        <v>400</v>
      </c>
      <c r="D5">
        <v>210</v>
      </c>
      <c r="E5">
        <v>260</v>
      </c>
      <c r="F5" s="3">
        <v>470</v>
      </c>
      <c r="H5">
        <v>250</v>
      </c>
      <c r="I5" s="3">
        <v>280</v>
      </c>
    </row>
    <row r="6" spans="1:9" x14ac:dyDescent="0.25">
      <c r="A6">
        <v>5</v>
      </c>
      <c r="B6" t="s">
        <v>21</v>
      </c>
    </row>
    <row r="7" spans="1:9" x14ac:dyDescent="0.25">
      <c r="A7">
        <v>6</v>
      </c>
    </row>
    <row r="8" spans="1:9" x14ac:dyDescent="0.25">
      <c r="A8">
        <v>7</v>
      </c>
    </row>
    <row r="9" spans="1:9" x14ac:dyDescent="0.25">
      <c r="A9">
        <v>8</v>
      </c>
    </row>
    <row r="10" spans="1:9" x14ac:dyDescent="0.25">
      <c r="A10">
        <v>9</v>
      </c>
    </row>
    <row r="11" spans="1:9" x14ac:dyDescent="0.25">
      <c r="A11">
        <v>10</v>
      </c>
    </row>
    <row r="12" spans="1:9" x14ac:dyDescent="0.25">
      <c r="A12">
        <v>11</v>
      </c>
    </row>
    <row r="13" spans="1:9" x14ac:dyDescent="0.25">
      <c r="A13">
        <v>12</v>
      </c>
    </row>
    <row r="14" spans="1:9" x14ac:dyDescent="0.25">
      <c r="A14">
        <v>13</v>
      </c>
    </row>
    <row r="15" spans="1:9" x14ac:dyDescent="0.25">
      <c r="A15">
        <v>14</v>
      </c>
    </row>
    <row r="16" spans="1:9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2" x14ac:dyDescent="0.25">
      <c r="A97">
        <v>96</v>
      </c>
      <c r="B97" t="s">
        <v>15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B7F2-D5DC-4D4F-856D-EB5B038BD8AF}">
  <dimension ref="A1:I99"/>
  <sheetViews>
    <sheetView tabSelected="1" workbookViewId="0">
      <selection activeCell="I11" sqref="I11"/>
    </sheetView>
  </sheetViews>
  <sheetFormatPr defaultRowHeight="15" x14ac:dyDescent="0.25"/>
  <sheetData>
    <row r="1" spans="1:9" ht="30" x14ac:dyDescent="0.4">
      <c r="A1" s="6" t="s">
        <v>22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7"/>
      <c r="B2" s="5"/>
      <c r="C2" s="5"/>
      <c r="D2" s="8" t="s">
        <v>23</v>
      </c>
      <c r="E2" s="8"/>
      <c r="F2" s="5"/>
      <c r="G2" s="8" t="s">
        <v>24</v>
      </c>
      <c r="H2" s="8"/>
      <c r="I2" s="5"/>
    </row>
    <row r="3" spans="1:9" x14ac:dyDescent="0.25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/>
      <c r="G3" s="8" t="s">
        <v>28</v>
      </c>
      <c r="H3" s="8" t="s">
        <v>29</v>
      </c>
      <c r="I3" s="8"/>
    </row>
    <row r="4" spans="1:9" x14ac:dyDescent="0.25">
      <c r="A4" s="8">
        <v>1</v>
      </c>
      <c r="B4" s="9">
        <v>0</v>
      </c>
      <c r="C4" s="9">
        <v>1.0416666666666701E-2</v>
      </c>
      <c r="D4" s="8"/>
      <c r="E4" s="8"/>
      <c r="F4" s="5" t="s">
        <v>30</v>
      </c>
      <c r="G4" s="8"/>
      <c r="H4" s="8"/>
      <c r="I4" s="5" t="s">
        <v>30</v>
      </c>
    </row>
    <row r="5" spans="1:9" x14ac:dyDescent="0.25">
      <c r="A5" s="8">
        <v>2</v>
      </c>
      <c r="B5" s="9">
        <v>1.0416666666666701E-2</v>
      </c>
      <c r="C5" s="9">
        <v>2.0833333333333301E-2</v>
      </c>
      <c r="D5" s="5"/>
      <c r="E5" s="5"/>
      <c r="F5" s="5" t="s">
        <v>30</v>
      </c>
      <c r="G5" s="5"/>
      <c r="H5" s="5"/>
      <c r="I5" s="5" t="s">
        <v>30</v>
      </c>
    </row>
    <row r="6" spans="1:9" x14ac:dyDescent="0.25">
      <c r="A6" s="8">
        <v>3</v>
      </c>
      <c r="B6" s="9">
        <v>2.0833333333333301E-2</v>
      </c>
      <c r="C6" s="9">
        <v>3.125E-2</v>
      </c>
      <c r="D6" s="5"/>
      <c r="E6" s="5"/>
      <c r="F6" s="5" t="s">
        <v>30</v>
      </c>
      <c r="G6" s="5"/>
      <c r="H6" s="5"/>
      <c r="I6" s="5" t="s">
        <v>30</v>
      </c>
    </row>
    <row r="7" spans="1:9" x14ac:dyDescent="0.25">
      <c r="A7" s="8">
        <v>4</v>
      </c>
      <c r="B7" s="9">
        <v>3.125E-2</v>
      </c>
      <c r="C7" s="9">
        <v>4.1666666666666699E-2</v>
      </c>
      <c r="D7" s="5"/>
      <c r="E7" s="5"/>
      <c r="F7" s="5" t="s">
        <v>30</v>
      </c>
      <c r="G7" s="5"/>
      <c r="H7" s="5"/>
      <c r="I7" s="5" t="s">
        <v>30</v>
      </c>
    </row>
    <row r="8" spans="1:9" x14ac:dyDescent="0.25">
      <c r="A8" s="8">
        <v>5</v>
      </c>
      <c r="B8" s="9">
        <v>4.1666666666666699E-2</v>
      </c>
      <c r="C8" s="9">
        <v>5.2083333333333301E-2</v>
      </c>
      <c r="D8" s="5"/>
      <c r="E8" s="5"/>
      <c r="F8" s="5" t="s">
        <v>30</v>
      </c>
      <c r="G8" s="5"/>
      <c r="H8" s="5"/>
      <c r="I8" s="5" t="s">
        <v>30</v>
      </c>
    </row>
    <row r="9" spans="1:9" x14ac:dyDescent="0.25">
      <c r="A9" s="8">
        <v>6</v>
      </c>
      <c r="B9" s="9">
        <v>5.2083333333333301E-2</v>
      </c>
      <c r="C9" s="9">
        <v>6.25E-2</v>
      </c>
      <c r="D9" s="5"/>
      <c r="E9" s="5"/>
      <c r="F9" s="5" t="s">
        <v>30</v>
      </c>
      <c r="G9" s="5"/>
      <c r="H9" s="5"/>
      <c r="I9" s="5" t="s">
        <v>30</v>
      </c>
    </row>
    <row r="10" spans="1:9" x14ac:dyDescent="0.25">
      <c r="A10" s="8">
        <v>7</v>
      </c>
      <c r="B10" s="9">
        <v>6.25E-2</v>
      </c>
      <c r="C10" s="9">
        <v>7.2916666666666699E-2</v>
      </c>
      <c r="D10" s="5"/>
      <c r="E10" s="5"/>
      <c r="F10" s="5" t="s">
        <v>30</v>
      </c>
      <c r="G10" s="5"/>
      <c r="H10" s="5"/>
      <c r="I10" s="5" t="s">
        <v>30</v>
      </c>
    </row>
    <row r="11" spans="1:9" x14ac:dyDescent="0.25">
      <c r="A11" s="8">
        <v>8</v>
      </c>
      <c r="B11" s="9">
        <v>7.2916666666666699E-2</v>
      </c>
      <c r="C11" s="9">
        <v>8.3333333333333301E-2</v>
      </c>
      <c r="D11" s="5"/>
      <c r="E11" s="5"/>
      <c r="F11" s="5" t="s">
        <v>30</v>
      </c>
      <c r="G11" s="5"/>
      <c r="H11" s="5"/>
      <c r="I11" s="5" t="s">
        <v>30</v>
      </c>
    </row>
    <row r="12" spans="1:9" x14ac:dyDescent="0.25">
      <c r="A12" s="8">
        <v>9</v>
      </c>
      <c r="B12" s="9">
        <v>8.3333333333333301E-2</v>
      </c>
      <c r="C12" s="9">
        <v>9.375E-2</v>
      </c>
      <c r="D12" s="5"/>
      <c r="E12" s="5"/>
      <c r="F12" s="5" t="s">
        <v>30</v>
      </c>
      <c r="G12" s="5"/>
      <c r="H12" s="5"/>
      <c r="I12" s="5" t="s">
        <v>30</v>
      </c>
    </row>
    <row r="13" spans="1:9" x14ac:dyDescent="0.25">
      <c r="A13" s="8">
        <v>10</v>
      </c>
      <c r="B13" s="9">
        <v>9.375E-2</v>
      </c>
      <c r="C13" s="9">
        <v>0.104166666666667</v>
      </c>
      <c r="D13" s="5"/>
      <c r="E13" s="5"/>
      <c r="F13" s="5" t="s">
        <v>30</v>
      </c>
      <c r="G13" s="5"/>
      <c r="H13" s="5"/>
      <c r="I13" s="5" t="s">
        <v>30</v>
      </c>
    </row>
    <row r="14" spans="1:9" x14ac:dyDescent="0.25">
      <c r="A14" s="8">
        <v>11</v>
      </c>
      <c r="B14" s="9">
        <v>0.104166666666667</v>
      </c>
      <c r="C14" s="9">
        <v>0.114583333333333</v>
      </c>
      <c r="D14" s="5"/>
      <c r="E14" s="5"/>
      <c r="F14" s="5" t="s">
        <v>30</v>
      </c>
      <c r="G14" s="5"/>
      <c r="H14" s="5"/>
      <c r="I14" s="5" t="s">
        <v>30</v>
      </c>
    </row>
    <row r="15" spans="1:9" x14ac:dyDescent="0.25">
      <c r="A15" s="8">
        <v>12</v>
      </c>
      <c r="B15" s="9">
        <v>0.114583333333333</v>
      </c>
      <c r="C15" s="9">
        <v>0.125</v>
      </c>
      <c r="D15" s="5"/>
      <c r="E15" s="5"/>
      <c r="F15" s="5" t="s">
        <v>30</v>
      </c>
      <c r="G15" s="5"/>
      <c r="H15" s="5"/>
      <c r="I15" s="5" t="s">
        <v>30</v>
      </c>
    </row>
    <row r="16" spans="1:9" x14ac:dyDescent="0.25">
      <c r="A16" s="8">
        <v>13</v>
      </c>
      <c r="B16" s="9">
        <v>0.125</v>
      </c>
      <c r="C16" s="9">
        <v>0.13541666666666699</v>
      </c>
      <c r="D16" s="5"/>
      <c r="E16" s="5"/>
      <c r="F16" s="5" t="s">
        <v>30</v>
      </c>
      <c r="G16" s="5"/>
      <c r="H16" s="5"/>
      <c r="I16" s="5" t="s">
        <v>30</v>
      </c>
    </row>
    <row r="17" spans="1:9" x14ac:dyDescent="0.25">
      <c r="A17" s="8">
        <v>14</v>
      </c>
      <c r="B17" s="9">
        <v>0.13541666666666699</v>
      </c>
      <c r="C17" s="9">
        <v>0.14583333333333301</v>
      </c>
      <c r="D17" s="5"/>
      <c r="E17" s="5"/>
      <c r="F17" s="5" t="s">
        <v>30</v>
      </c>
      <c r="G17" s="5"/>
      <c r="H17" s="5"/>
      <c r="I17" s="5" t="s">
        <v>30</v>
      </c>
    </row>
    <row r="18" spans="1:9" x14ac:dyDescent="0.25">
      <c r="A18" s="8">
        <v>15</v>
      </c>
      <c r="B18" s="9">
        <v>0.14583333333333301</v>
      </c>
      <c r="C18" s="9">
        <v>0.15625</v>
      </c>
      <c r="D18" s="5"/>
      <c r="E18" s="5"/>
      <c r="F18" s="5" t="s">
        <v>30</v>
      </c>
      <c r="G18" s="5"/>
      <c r="H18" s="5"/>
      <c r="I18" s="5" t="s">
        <v>30</v>
      </c>
    </row>
    <row r="19" spans="1:9" x14ac:dyDescent="0.25">
      <c r="A19" s="8">
        <v>16</v>
      </c>
      <c r="B19" s="9">
        <v>0.15625</v>
      </c>
      <c r="C19" s="9">
        <v>0.16666666666666699</v>
      </c>
      <c r="D19" s="5"/>
      <c r="E19" s="5"/>
      <c r="F19" s="5" t="s">
        <v>30</v>
      </c>
      <c r="G19" s="5"/>
      <c r="H19" s="5"/>
      <c r="I19" s="5" t="s">
        <v>30</v>
      </c>
    </row>
    <row r="20" spans="1:9" x14ac:dyDescent="0.25">
      <c r="A20" s="8">
        <v>17</v>
      </c>
      <c r="B20" s="9">
        <v>0.16666666666666699</v>
      </c>
      <c r="C20" s="9">
        <v>0.17708333333333301</v>
      </c>
      <c r="D20" s="5"/>
      <c r="E20" s="5"/>
      <c r="F20" s="5" t="s">
        <v>30</v>
      </c>
      <c r="G20" s="5"/>
      <c r="H20" s="5"/>
      <c r="I20" s="5" t="s">
        <v>30</v>
      </c>
    </row>
    <row r="21" spans="1:9" x14ac:dyDescent="0.25">
      <c r="A21" s="8">
        <v>18</v>
      </c>
      <c r="B21" s="9">
        <v>0.17708333333333301</v>
      </c>
      <c r="C21" s="9">
        <v>0.1875</v>
      </c>
      <c r="D21" s="5"/>
      <c r="E21" s="5"/>
      <c r="F21" s="5" t="s">
        <v>30</v>
      </c>
      <c r="G21" s="8"/>
      <c r="H21" s="8"/>
      <c r="I21" s="5" t="s">
        <v>30</v>
      </c>
    </row>
    <row r="22" spans="1:9" x14ac:dyDescent="0.25">
      <c r="A22" s="8">
        <v>19</v>
      </c>
      <c r="B22" s="9">
        <v>0.1875</v>
      </c>
      <c r="C22" s="9">
        <v>0.19791666666666699</v>
      </c>
      <c r="D22" s="5"/>
      <c r="E22" s="5"/>
      <c r="F22" s="5" t="s">
        <v>30</v>
      </c>
      <c r="G22" s="5"/>
      <c r="H22" s="5"/>
      <c r="I22" s="5" t="s">
        <v>30</v>
      </c>
    </row>
    <row r="23" spans="1:9" x14ac:dyDescent="0.25">
      <c r="A23" s="8">
        <v>20</v>
      </c>
      <c r="B23" s="9">
        <v>0.19791666666666699</v>
      </c>
      <c r="C23" s="9">
        <v>0.20833333333333301</v>
      </c>
      <c r="D23" s="5"/>
      <c r="E23" s="5"/>
      <c r="F23" s="5" t="s">
        <v>30</v>
      </c>
      <c r="G23" s="5"/>
      <c r="H23" s="5"/>
      <c r="I23" s="5" t="s">
        <v>30</v>
      </c>
    </row>
    <row r="24" spans="1:9" x14ac:dyDescent="0.25">
      <c r="A24" s="8">
        <v>21</v>
      </c>
      <c r="B24" s="9">
        <v>0.20833333333333301</v>
      </c>
      <c r="C24" s="9">
        <v>0.21875</v>
      </c>
      <c r="D24" s="5"/>
      <c r="E24" s="5"/>
      <c r="F24" s="5" t="s">
        <v>30</v>
      </c>
      <c r="G24" s="5"/>
      <c r="H24" s="5"/>
      <c r="I24" s="5" t="s">
        <v>30</v>
      </c>
    </row>
    <row r="25" spans="1:9" x14ac:dyDescent="0.25">
      <c r="A25" s="8">
        <v>22</v>
      </c>
      <c r="B25" s="9">
        <v>0.21875</v>
      </c>
      <c r="C25" s="9">
        <v>0.22916666666666699</v>
      </c>
      <c r="D25" s="5"/>
      <c r="E25" s="5"/>
      <c r="F25" s="5" t="s">
        <v>30</v>
      </c>
      <c r="G25" s="5"/>
      <c r="H25" s="5"/>
      <c r="I25" s="5" t="s">
        <v>30</v>
      </c>
    </row>
    <row r="26" spans="1:9" x14ac:dyDescent="0.25">
      <c r="A26" s="8">
        <v>23</v>
      </c>
      <c r="B26" s="9">
        <v>0.22916666666666699</v>
      </c>
      <c r="C26" s="9">
        <v>0.23958333333333301</v>
      </c>
      <c r="D26" s="5"/>
      <c r="E26" s="5"/>
      <c r="F26" s="5" t="s">
        <v>30</v>
      </c>
      <c r="G26" s="5"/>
      <c r="H26" s="5"/>
      <c r="I26" s="5" t="s">
        <v>30</v>
      </c>
    </row>
    <row r="27" spans="1:9" x14ac:dyDescent="0.25">
      <c r="A27" s="8">
        <v>24</v>
      </c>
      <c r="B27" s="9">
        <v>0.23958333333333301</v>
      </c>
      <c r="C27" s="9">
        <v>0.25</v>
      </c>
      <c r="D27" s="5"/>
      <c r="E27" s="5"/>
      <c r="F27" s="5" t="s">
        <v>30</v>
      </c>
      <c r="G27" s="5"/>
      <c r="H27" s="5"/>
      <c r="I27" s="5" t="s">
        <v>30</v>
      </c>
    </row>
    <row r="28" spans="1:9" x14ac:dyDescent="0.25">
      <c r="A28" s="8">
        <v>25</v>
      </c>
      <c r="B28" s="9">
        <v>0.25</v>
      </c>
      <c r="C28" s="9">
        <v>0.26041666666666702</v>
      </c>
      <c r="D28" s="8"/>
      <c r="E28" s="8"/>
      <c r="F28" s="5" t="s">
        <v>30</v>
      </c>
      <c r="G28" s="8"/>
      <c r="H28" s="8"/>
      <c r="I28" s="5" t="s">
        <v>30</v>
      </c>
    </row>
    <row r="29" spans="1:9" x14ac:dyDescent="0.25">
      <c r="A29" s="8">
        <v>26</v>
      </c>
      <c r="B29" s="9">
        <v>0.26041666666666702</v>
      </c>
      <c r="C29" s="9">
        <v>0.27083333333333298</v>
      </c>
      <c r="D29" s="5"/>
      <c r="E29" s="5"/>
      <c r="F29" s="5" t="s">
        <v>30</v>
      </c>
      <c r="G29" s="5"/>
      <c r="H29" s="5"/>
      <c r="I29" s="5" t="s">
        <v>30</v>
      </c>
    </row>
    <row r="30" spans="1:9" x14ac:dyDescent="0.25">
      <c r="A30" s="8">
        <v>27</v>
      </c>
      <c r="B30" s="9">
        <v>0.27083333333333298</v>
      </c>
      <c r="C30" s="9">
        <v>0.28125</v>
      </c>
      <c r="D30" s="5"/>
      <c r="E30" s="5"/>
      <c r="F30" s="5" t="s">
        <v>30</v>
      </c>
      <c r="G30" s="5"/>
      <c r="H30" s="5"/>
      <c r="I30" s="5" t="s">
        <v>30</v>
      </c>
    </row>
    <row r="31" spans="1:9" x14ac:dyDescent="0.25">
      <c r="A31" s="8">
        <v>28</v>
      </c>
      <c r="B31" s="9">
        <v>0.28125</v>
      </c>
      <c r="C31" s="9">
        <v>0.29166666666666702</v>
      </c>
      <c r="D31" s="5"/>
      <c r="E31" s="5"/>
      <c r="F31" s="5" t="s">
        <v>30</v>
      </c>
      <c r="G31" s="5"/>
      <c r="H31" s="5"/>
      <c r="I31" s="5" t="s">
        <v>30</v>
      </c>
    </row>
    <row r="32" spans="1:9" x14ac:dyDescent="0.25">
      <c r="A32" s="8">
        <v>29</v>
      </c>
      <c r="B32" s="9">
        <v>0.29166666666666702</v>
      </c>
      <c r="C32" s="9">
        <v>0.30208333333333298</v>
      </c>
      <c r="D32" s="5"/>
      <c r="E32" s="5"/>
      <c r="F32" s="5" t="s">
        <v>30</v>
      </c>
      <c r="G32" s="5"/>
      <c r="H32" s="5"/>
      <c r="I32" s="5" t="s">
        <v>30</v>
      </c>
    </row>
    <row r="33" spans="1:9" x14ac:dyDescent="0.25">
      <c r="A33" s="8">
        <v>30</v>
      </c>
      <c r="B33" s="9">
        <v>0.30208333333333298</v>
      </c>
      <c r="C33" s="9">
        <v>0.3125</v>
      </c>
      <c r="D33" s="5"/>
      <c r="E33" s="5"/>
      <c r="F33" s="5" t="s">
        <v>30</v>
      </c>
      <c r="G33" s="5"/>
      <c r="H33" s="5"/>
      <c r="I33" s="5" t="s">
        <v>30</v>
      </c>
    </row>
    <row r="34" spans="1:9" x14ac:dyDescent="0.25">
      <c r="A34" s="8">
        <v>31</v>
      </c>
      <c r="B34" s="9">
        <v>0.3125</v>
      </c>
      <c r="C34" s="9">
        <v>0.32291666666666702</v>
      </c>
      <c r="D34" s="5"/>
      <c r="E34" s="5"/>
      <c r="F34" s="5" t="s">
        <v>30</v>
      </c>
      <c r="G34" s="5"/>
      <c r="H34" s="5"/>
      <c r="I34" s="5" t="s">
        <v>30</v>
      </c>
    </row>
    <row r="35" spans="1:9" x14ac:dyDescent="0.25">
      <c r="A35" s="8">
        <v>32</v>
      </c>
      <c r="B35" s="9">
        <v>0.32291666666666702</v>
      </c>
      <c r="C35" s="9">
        <v>0.33333333333333298</v>
      </c>
      <c r="D35" s="5"/>
      <c r="E35" s="5"/>
      <c r="F35" s="5" t="s">
        <v>30</v>
      </c>
      <c r="G35" s="5"/>
      <c r="H35" s="5"/>
      <c r="I35" s="5" t="s">
        <v>30</v>
      </c>
    </row>
    <row r="36" spans="1:9" x14ac:dyDescent="0.25">
      <c r="A36" s="8">
        <v>33</v>
      </c>
      <c r="B36" s="9">
        <v>0.33333333333333298</v>
      </c>
      <c r="C36" s="9">
        <v>0.34375</v>
      </c>
      <c r="D36" s="5"/>
      <c r="E36" s="5"/>
      <c r="F36" s="5" t="s">
        <v>30</v>
      </c>
      <c r="G36" s="5"/>
      <c r="H36" s="5"/>
      <c r="I36" s="5" t="s">
        <v>30</v>
      </c>
    </row>
    <row r="37" spans="1:9" x14ac:dyDescent="0.25">
      <c r="A37" s="8">
        <v>34</v>
      </c>
      <c r="B37" s="9">
        <v>0.34375</v>
      </c>
      <c r="C37" s="9">
        <v>0.35416666666666702</v>
      </c>
      <c r="D37" s="5"/>
      <c r="E37" s="5"/>
      <c r="F37" s="5" t="s">
        <v>30</v>
      </c>
      <c r="G37" s="5"/>
      <c r="H37" s="5"/>
      <c r="I37" s="5" t="s">
        <v>30</v>
      </c>
    </row>
    <row r="38" spans="1:9" x14ac:dyDescent="0.25">
      <c r="A38" s="8">
        <v>35</v>
      </c>
      <c r="B38" s="9">
        <v>0.35416666666666702</v>
      </c>
      <c r="C38" s="9">
        <v>0.36458333333333298</v>
      </c>
      <c r="D38" s="5"/>
      <c r="E38" s="5"/>
      <c r="F38" s="5" t="s">
        <v>30</v>
      </c>
      <c r="G38" s="5"/>
      <c r="H38" s="5"/>
      <c r="I38" s="5" t="s">
        <v>30</v>
      </c>
    </row>
    <row r="39" spans="1:9" x14ac:dyDescent="0.25">
      <c r="A39" s="8">
        <v>36</v>
      </c>
      <c r="B39" s="9">
        <v>0.36458333333333298</v>
      </c>
      <c r="C39" s="9">
        <v>0.375</v>
      </c>
      <c r="D39" s="5"/>
      <c r="E39" s="5"/>
      <c r="F39" s="5" t="s">
        <v>30</v>
      </c>
      <c r="G39" s="5"/>
      <c r="H39" s="5"/>
      <c r="I39" s="5" t="s">
        <v>30</v>
      </c>
    </row>
    <row r="40" spans="1:9" x14ac:dyDescent="0.25">
      <c r="A40" s="8">
        <v>37</v>
      </c>
      <c r="B40" s="9">
        <v>0.375</v>
      </c>
      <c r="C40" s="9">
        <v>0.38541666666666702</v>
      </c>
      <c r="D40" s="5"/>
      <c r="E40" s="5"/>
      <c r="F40" s="5" t="s">
        <v>30</v>
      </c>
      <c r="G40" s="5"/>
      <c r="H40" s="5"/>
      <c r="I40" s="5" t="s">
        <v>30</v>
      </c>
    </row>
    <row r="41" spans="1:9" x14ac:dyDescent="0.25">
      <c r="A41" s="8">
        <v>38</v>
      </c>
      <c r="B41" s="9">
        <v>0.38541666666666702</v>
      </c>
      <c r="C41" s="9">
        <v>0.39583333333333298</v>
      </c>
      <c r="D41" s="5"/>
      <c r="E41" s="5"/>
      <c r="F41" s="5" t="s">
        <v>30</v>
      </c>
      <c r="G41" s="5"/>
      <c r="H41" s="5"/>
      <c r="I41" s="5" t="s">
        <v>30</v>
      </c>
    </row>
    <row r="42" spans="1:9" x14ac:dyDescent="0.25">
      <c r="A42" s="8">
        <v>39</v>
      </c>
      <c r="B42" s="9">
        <v>0.39583333333333298</v>
      </c>
      <c r="C42" s="9">
        <v>0.40625</v>
      </c>
      <c r="D42" s="5"/>
      <c r="E42" s="5"/>
      <c r="F42" s="5" t="s">
        <v>30</v>
      </c>
      <c r="G42" s="5"/>
      <c r="H42" s="5"/>
      <c r="I42" s="5" t="s">
        <v>30</v>
      </c>
    </row>
    <row r="43" spans="1:9" x14ac:dyDescent="0.25">
      <c r="A43" s="8">
        <v>40</v>
      </c>
      <c r="B43" s="9">
        <v>0.40625</v>
      </c>
      <c r="C43" s="9">
        <v>0.41666666666666702</v>
      </c>
      <c r="D43" s="5"/>
      <c r="E43" s="5"/>
      <c r="F43" s="5" t="s">
        <v>30</v>
      </c>
      <c r="G43" s="5"/>
      <c r="H43" s="5"/>
      <c r="I43" s="5" t="s">
        <v>30</v>
      </c>
    </row>
    <row r="44" spans="1:9" x14ac:dyDescent="0.25">
      <c r="A44" s="8">
        <v>41</v>
      </c>
      <c r="B44" s="9">
        <v>0.41666666666666702</v>
      </c>
      <c r="C44" s="9">
        <v>0.42708333333333298</v>
      </c>
      <c r="D44" s="5"/>
      <c r="E44" s="5"/>
      <c r="F44" s="5" t="s">
        <v>30</v>
      </c>
      <c r="G44" s="5"/>
      <c r="H44" s="5"/>
      <c r="I44" s="5" t="s">
        <v>30</v>
      </c>
    </row>
    <row r="45" spans="1:9" x14ac:dyDescent="0.25">
      <c r="A45" s="8">
        <v>42</v>
      </c>
      <c r="B45" s="9">
        <v>0.42708333333333298</v>
      </c>
      <c r="C45" s="9">
        <v>0.4375</v>
      </c>
      <c r="D45" s="5"/>
      <c r="E45" s="5"/>
      <c r="F45" s="5" t="s">
        <v>30</v>
      </c>
      <c r="G45" s="8"/>
      <c r="H45" s="8"/>
      <c r="I45" s="5" t="s">
        <v>30</v>
      </c>
    </row>
    <row r="46" spans="1:9" x14ac:dyDescent="0.25">
      <c r="A46" s="8">
        <v>43</v>
      </c>
      <c r="B46" s="9">
        <v>0.4375</v>
      </c>
      <c r="C46" s="9">
        <v>0.44791666666666702</v>
      </c>
      <c r="D46" s="5"/>
      <c r="E46" s="5"/>
      <c r="F46" s="5" t="s">
        <v>30</v>
      </c>
      <c r="G46" s="5"/>
      <c r="H46" s="5"/>
      <c r="I46" s="5" t="s">
        <v>30</v>
      </c>
    </row>
    <row r="47" spans="1:9" x14ac:dyDescent="0.25">
      <c r="A47" s="8">
        <v>44</v>
      </c>
      <c r="B47" s="9">
        <v>0.44791666666666702</v>
      </c>
      <c r="C47" s="9">
        <v>0.45833333333333298</v>
      </c>
      <c r="D47" s="5"/>
      <c r="E47" s="5"/>
      <c r="F47" s="5" t="s">
        <v>30</v>
      </c>
      <c r="G47" s="5"/>
      <c r="H47" s="5"/>
      <c r="I47" s="5" t="s">
        <v>30</v>
      </c>
    </row>
    <row r="48" spans="1:9" x14ac:dyDescent="0.25">
      <c r="A48" s="8">
        <v>45</v>
      </c>
      <c r="B48" s="9">
        <v>0.45833333333333298</v>
      </c>
      <c r="C48" s="9">
        <v>0.46875</v>
      </c>
      <c r="D48" s="5"/>
      <c r="E48" s="5"/>
      <c r="F48" s="5" t="s">
        <v>30</v>
      </c>
      <c r="G48" s="5"/>
      <c r="H48" s="5"/>
      <c r="I48" s="5" t="s">
        <v>30</v>
      </c>
    </row>
    <row r="49" spans="1:9" x14ac:dyDescent="0.25">
      <c r="A49" s="8">
        <v>46</v>
      </c>
      <c r="B49" s="9">
        <v>0.46875</v>
      </c>
      <c r="C49" s="9">
        <v>0.47916666666666702</v>
      </c>
      <c r="D49" s="5"/>
      <c r="E49" s="5"/>
      <c r="F49" s="5" t="s">
        <v>30</v>
      </c>
      <c r="G49" s="5"/>
      <c r="H49" s="5"/>
      <c r="I49" s="5" t="s">
        <v>30</v>
      </c>
    </row>
    <row r="50" spans="1:9" x14ac:dyDescent="0.25">
      <c r="A50" s="8">
        <v>47</v>
      </c>
      <c r="B50" s="9">
        <v>0.47916666666666702</v>
      </c>
      <c r="C50" s="9">
        <v>0.48958333333333298</v>
      </c>
      <c r="D50" s="5"/>
      <c r="E50" s="5"/>
      <c r="F50" s="5" t="s">
        <v>30</v>
      </c>
      <c r="G50" s="5"/>
      <c r="H50" s="5"/>
      <c r="I50" s="5" t="s">
        <v>30</v>
      </c>
    </row>
    <row r="51" spans="1:9" x14ac:dyDescent="0.25">
      <c r="A51" s="8">
        <v>48</v>
      </c>
      <c r="B51" s="9">
        <v>0.48958333333333298</v>
      </c>
      <c r="C51" s="9">
        <v>0.5</v>
      </c>
      <c r="D51" s="5"/>
      <c r="E51" s="5"/>
      <c r="F51" s="5" t="s">
        <v>30</v>
      </c>
      <c r="G51" s="5"/>
      <c r="H51" s="5"/>
      <c r="I51" s="5" t="s">
        <v>30</v>
      </c>
    </row>
    <row r="52" spans="1:9" x14ac:dyDescent="0.25">
      <c r="A52" s="8">
        <v>49</v>
      </c>
      <c r="B52" s="9">
        <v>0.5</v>
      </c>
      <c r="C52" s="9">
        <v>0.51041666666666696</v>
      </c>
      <c r="D52" s="8"/>
      <c r="E52" s="8"/>
      <c r="F52" s="5" t="s">
        <v>30</v>
      </c>
      <c r="G52" s="8"/>
      <c r="H52" s="8"/>
      <c r="I52" s="5" t="s">
        <v>30</v>
      </c>
    </row>
    <row r="53" spans="1:9" x14ac:dyDescent="0.25">
      <c r="A53" s="8">
        <v>50</v>
      </c>
      <c r="B53" s="9">
        <v>0.51041666666666696</v>
      </c>
      <c r="C53" s="9">
        <v>0.52083333333333304</v>
      </c>
      <c r="D53" s="5"/>
      <c r="E53" s="5"/>
      <c r="F53" s="5" t="s">
        <v>30</v>
      </c>
      <c r="G53" s="5"/>
      <c r="H53" s="5"/>
      <c r="I53" s="5" t="s">
        <v>30</v>
      </c>
    </row>
    <row r="54" spans="1:9" x14ac:dyDescent="0.25">
      <c r="A54" s="8">
        <v>51</v>
      </c>
      <c r="B54" s="9">
        <v>0.52083333333333304</v>
      </c>
      <c r="C54" s="9">
        <v>0.53125</v>
      </c>
      <c r="D54" s="5"/>
      <c r="E54" s="5"/>
      <c r="F54" s="5" t="s">
        <v>30</v>
      </c>
      <c r="G54" s="5"/>
      <c r="H54" s="5"/>
      <c r="I54" s="5" t="s">
        <v>30</v>
      </c>
    </row>
    <row r="55" spans="1:9" x14ac:dyDescent="0.25">
      <c r="A55" s="8">
        <v>52</v>
      </c>
      <c r="B55" s="9">
        <v>0.53125</v>
      </c>
      <c r="C55" s="9">
        <v>0.54166666666666696</v>
      </c>
      <c r="D55" s="5"/>
      <c r="E55" s="5"/>
      <c r="F55" s="5" t="s">
        <v>30</v>
      </c>
      <c r="G55" s="5"/>
      <c r="H55" s="5"/>
      <c r="I55" s="5" t="s">
        <v>30</v>
      </c>
    </row>
    <row r="56" spans="1:9" x14ac:dyDescent="0.25">
      <c r="A56" s="8">
        <v>53</v>
      </c>
      <c r="B56" s="9">
        <v>0.54166666666666696</v>
      </c>
      <c r="C56" s="9">
        <v>0.55208333333333304</v>
      </c>
      <c r="D56" s="5"/>
      <c r="E56" s="5"/>
      <c r="F56" s="5" t="s">
        <v>30</v>
      </c>
      <c r="G56" s="5"/>
      <c r="H56" s="5"/>
      <c r="I56" s="5" t="s">
        <v>30</v>
      </c>
    </row>
    <row r="57" spans="1:9" x14ac:dyDescent="0.25">
      <c r="A57" s="8">
        <v>54</v>
      </c>
      <c r="B57" s="9">
        <v>0.55208333333333304</v>
      </c>
      <c r="C57" s="9">
        <v>0.5625</v>
      </c>
      <c r="D57" s="5"/>
      <c r="E57" s="5"/>
      <c r="F57" s="5" t="s">
        <v>30</v>
      </c>
      <c r="G57" s="5"/>
      <c r="H57" s="5"/>
      <c r="I57" s="5" t="s">
        <v>30</v>
      </c>
    </row>
    <row r="58" spans="1:9" x14ac:dyDescent="0.25">
      <c r="A58" s="8">
        <v>55</v>
      </c>
      <c r="B58" s="9">
        <v>0.5625</v>
      </c>
      <c r="C58" s="9">
        <v>0.57291666666666696</v>
      </c>
      <c r="D58" s="5"/>
      <c r="E58" s="5"/>
      <c r="F58" s="5" t="s">
        <v>30</v>
      </c>
      <c r="G58" s="5"/>
      <c r="H58" s="5"/>
      <c r="I58" s="5" t="s">
        <v>30</v>
      </c>
    </row>
    <row r="59" spans="1:9" x14ac:dyDescent="0.25">
      <c r="A59" s="8">
        <v>56</v>
      </c>
      <c r="B59" s="9">
        <v>0.57291666666666696</v>
      </c>
      <c r="C59" s="9">
        <v>0.58333333333333304</v>
      </c>
      <c r="D59" s="5"/>
      <c r="E59" s="5"/>
      <c r="F59" s="5" t="s">
        <v>30</v>
      </c>
      <c r="G59" s="5"/>
      <c r="H59" s="5"/>
      <c r="I59" s="5" t="s">
        <v>30</v>
      </c>
    </row>
    <row r="60" spans="1:9" x14ac:dyDescent="0.25">
      <c r="A60" s="8">
        <v>57</v>
      </c>
      <c r="B60" s="9">
        <v>0.58333333333333304</v>
      </c>
      <c r="C60" s="9">
        <v>0.59375</v>
      </c>
      <c r="D60" s="5"/>
      <c r="E60" s="5"/>
      <c r="F60" s="5" t="s">
        <v>30</v>
      </c>
      <c r="G60" s="5"/>
      <c r="H60" s="5"/>
      <c r="I60" s="5" t="s">
        <v>30</v>
      </c>
    </row>
    <row r="61" spans="1:9" x14ac:dyDescent="0.25">
      <c r="A61" s="8">
        <v>58</v>
      </c>
      <c r="B61" s="9">
        <v>0.59375</v>
      </c>
      <c r="C61" s="9">
        <v>0.60416666666666696</v>
      </c>
      <c r="D61" s="5"/>
      <c r="E61" s="5"/>
      <c r="F61" s="5" t="s">
        <v>30</v>
      </c>
      <c r="G61" s="5"/>
      <c r="H61" s="5"/>
      <c r="I61" s="5" t="s">
        <v>30</v>
      </c>
    </row>
    <row r="62" spans="1:9" x14ac:dyDescent="0.25">
      <c r="A62" s="8">
        <v>59</v>
      </c>
      <c r="B62" s="9">
        <v>0.60416666666666696</v>
      </c>
      <c r="C62" s="9">
        <v>0.61458333333333304</v>
      </c>
      <c r="D62" s="5"/>
      <c r="E62" s="5"/>
      <c r="F62" s="5" t="s">
        <v>30</v>
      </c>
      <c r="G62" s="5"/>
      <c r="H62" s="5"/>
      <c r="I62" s="5" t="s">
        <v>30</v>
      </c>
    </row>
    <row r="63" spans="1:9" x14ac:dyDescent="0.25">
      <c r="A63" s="8">
        <v>60</v>
      </c>
      <c r="B63" s="9">
        <v>0.61458333333333304</v>
      </c>
      <c r="C63" s="9">
        <v>0.625</v>
      </c>
      <c r="D63" s="5"/>
      <c r="E63" s="5"/>
      <c r="F63" s="5" t="s">
        <v>30</v>
      </c>
      <c r="G63" s="5"/>
      <c r="H63" s="5"/>
      <c r="I63" s="5" t="s">
        <v>30</v>
      </c>
    </row>
    <row r="64" spans="1:9" x14ac:dyDescent="0.25">
      <c r="A64" s="8">
        <v>61</v>
      </c>
      <c r="B64" s="9">
        <v>0.625</v>
      </c>
      <c r="C64" s="9">
        <v>0.63541666666666696</v>
      </c>
      <c r="D64" s="5"/>
      <c r="E64" s="5"/>
      <c r="F64" s="5" t="s">
        <v>30</v>
      </c>
      <c r="G64" s="5"/>
      <c r="H64" s="5"/>
      <c r="I64" s="5" t="s">
        <v>30</v>
      </c>
    </row>
    <row r="65" spans="1:9" x14ac:dyDescent="0.25">
      <c r="A65" s="8">
        <v>62</v>
      </c>
      <c r="B65" s="9">
        <v>0.63541666666666696</v>
      </c>
      <c r="C65" s="9">
        <v>0.64583333333333304</v>
      </c>
      <c r="D65" s="5"/>
      <c r="E65" s="5"/>
      <c r="F65" s="5" t="s">
        <v>30</v>
      </c>
      <c r="G65" s="5"/>
      <c r="H65" s="5"/>
      <c r="I65" s="5" t="s">
        <v>30</v>
      </c>
    </row>
    <row r="66" spans="1:9" x14ac:dyDescent="0.25">
      <c r="A66" s="8">
        <v>63</v>
      </c>
      <c r="B66" s="9">
        <v>0.64583333333333304</v>
      </c>
      <c r="C66" s="9">
        <v>0.65625</v>
      </c>
      <c r="D66" s="5"/>
      <c r="E66" s="5"/>
      <c r="F66" s="5" t="s">
        <v>30</v>
      </c>
      <c r="G66" s="5"/>
      <c r="H66" s="5"/>
      <c r="I66" s="5" t="s">
        <v>30</v>
      </c>
    </row>
    <row r="67" spans="1:9" x14ac:dyDescent="0.25">
      <c r="A67" s="8">
        <v>64</v>
      </c>
      <c r="B67" s="9">
        <v>0.65625</v>
      </c>
      <c r="C67" s="9">
        <v>0.66666666666666696</v>
      </c>
      <c r="D67" s="5"/>
      <c r="E67" s="5"/>
      <c r="F67" s="5" t="s">
        <v>30</v>
      </c>
      <c r="G67" s="5"/>
      <c r="H67" s="5"/>
      <c r="I67" s="5" t="s">
        <v>30</v>
      </c>
    </row>
    <row r="68" spans="1:9" x14ac:dyDescent="0.25">
      <c r="A68" s="8">
        <v>65</v>
      </c>
      <c r="B68" s="9">
        <v>0.66666666666666696</v>
      </c>
      <c r="C68" s="9">
        <v>0.67708333333333304</v>
      </c>
      <c r="D68" s="5"/>
      <c r="E68" s="5"/>
      <c r="F68" s="5" t="s">
        <v>30</v>
      </c>
      <c r="G68" s="5"/>
      <c r="H68" s="5"/>
      <c r="I68" s="5" t="s">
        <v>30</v>
      </c>
    </row>
    <row r="69" spans="1:9" x14ac:dyDescent="0.25">
      <c r="A69" s="8">
        <v>66</v>
      </c>
      <c r="B69" s="9">
        <v>0.67708333333333304</v>
      </c>
      <c r="C69" s="9">
        <v>0.6875</v>
      </c>
      <c r="D69" s="5"/>
      <c r="E69" s="5"/>
      <c r="F69" s="5" t="s">
        <v>30</v>
      </c>
      <c r="G69" s="8"/>
      <c r="H69" s="8"/>
      <c r="I69" s="5" t="s">
        <v>30</v>
      </c>
    </row>
    <row r="70" spans="1:9" x14ac:dyDescent="0.25">
      <c r="A70" s="8">
        <v>67</v>
      </c>
      <c r="B70" s="9">
        <v>0.6875</v>
      </c>
      <c r="C70" s="9">
        <v>0.69791666666666696</v>
      </c>
      <c r="D70" s="5"/>
      <c r="E70" s="5"/>
      <c r="F70" s="5" t="s">
        <v>30</v>
      </c>
      <c r="G70" s="5"/>
      <c r="H70" s="5"/>
      <c r="I70" s="5" t="s">
        <v>30</v>
      </c>
    </row>
    <row r="71" spans="1:9" x14ac:dyDescent="0.25">
      <c r="A71" s="8">
        <v>68</v>
      </c>
      <c r="B71" s="9">
        <v>0.69791666666666696</v>
      </c>
      <c r="C71" s="9">
        <v>0.70833333333333304</v>
      </c>
      <c r="D71" s="5"/>
      <c r="E71" s="5"/>
      <c r="F71" s="5" t="s">
        <v>30</v>
      </c>
      <c r="G71" s="5"/>
      <c r="H71" s="5"/>
      <c r="I71" s="5" t="s">
        <v>30</v>
      </c>
    </row>
    <row r="72" spans="1:9" x14ac:dyDescent="0.25">
      <c r="A72" s="8">
        <v>69</v>
      </c>
      <c r="B72" s="9">
        <v>0.70833333333333304</v>
      </c>
      <c r="C72" s="9">
        <v>0.71875</v>
      </c>
      <c r="D72" s="5"/>
      <c r="E72" s="5"/>
      <c r="F72" s="5" t="s">
        <v>30</v>
      </c>
      <c r="G72" s="5"/>
      <c r="H72" s="5"/>
      <c r="I72" s="5" t="s">
        <v>30</v>
      </c>
    </row>
    <row r="73" spans="1:9" x14ac:dyDescent="0.25">
      <c r="A73" s="8">
        <v>70</v>
      </c>
      <c r="B73" s="9">
        <v>0.71875</v>
      </c>
      <c r="C73" s="9">
        <v>0.72916666666666696</v>
      </c>
      <c r="D73" s="5"/>
      <c r="E73" s="5"/>
      <c r="F73" s="5" t="s">
        <v>30</v>
      </c>
      <c r="G73" s="5"/>
      <c r="H73" s="5"/>
      <c r="I73" s="5" t="s">
        <v>30</v>
      </c>
    </row>
    <row r="74" spans="1:9" x14ac:dyDescent="0.25">
      <c r="A74" s="8">
        <v>71</v>
      </c>
      <c r="B74" s="9">
        <v>0.72916666666666696</v>
      </c>
      <c r="C74" s="9">
        <v>0.73958333333333304</v>
      </c>
      <c r="D74" s="5"/>
      <c r="E74" s="5"/>
      <c r="F74" s="5" t="s">
        <v>30</v>
      </c>
      <c r="G74" s="5"/>
      <c r="H74" s="5"/>
      <c r="I74" s="5" t="s">
        <v>30</v>
      </c>
    </row>
    <row r="75" spans="1:9" x14ac:dyDescent="0.25">
      <c r="A75" s="8">
        <v>72</v>
      </c>
      <c r="B75" s="9">
        <v>0.73958333333333304</v>
      </c>
      <c r="C75" s="9">
        <v>0.75</v>
      </c>
      <c r="D75" s="5"/>
      <c r="E75" s="5"/>
      <c r="F75" s="5" t="s">
        <v>30</v>
      </c>
      <c r="G75" s="5"/>
      <c r="H75" s="5"/>
      <c r="I75" s="5" t="s">
        <v>30</v>
      </c>
    </row>
    <row r="76" spans="1:9" x14ac:dyDescent="0.25">
      <c r="A76" s="8">
        <v>73</v>
      </c>
      <c r="B76" s="9">
        <v>0.75</v>
      </c>
      <c r="C76" s="9">
        <v>0.76041666666666696</v>
      </c>
      <c r="D76" s="8"/>
      <c r="E76" s="8"/>
      <c r="F76" s="5" t="s">
        <v>30</v>
      </c>
      <c r="G76" s="8"/>
      <c r="H76" s="8"/>
      <c r="I76" s="5" t="s">
        <v>30</v>
      </c>
    </row>
    <row r="77" spans="1:9" x14ac:dyDescent="0.25">
      <c r="A77" s="8">
        <v>74</v>
      </c>
      <c r="B77" s="9">
        <v>0.76041666666666696</v>
      </c>
      <c r="C77" s="9">
        <v>0.77083333333333304</v>
      </c>
      <c r="D77" s="5"/>
      <c r="E77" s="5"/>
      <c r="F77" s="5" t="s">
        <v>30</v>
      </c>
      <c r="G77" s="5"/>
      <c r="H77" s="5"/>
      <c r="I77" s="5" t="s">
        <v>30</v>
      </c>
    </row>
    <row r="78" spans="1:9" x14ac:dyDescent="0.25">
      <c r="A78" s="8">
        <v>75</v>
      </c>
      <c r="B78" s="9">
        <v>0.77083333333333304</v>
      </c>
      <c r="C78" s="9">
        <v>0.78125</v>
      </c>
      <c r="D78" s="5"/>
      <c r="E78" s="5"/>
      <c r="F78" s="5" t="s">
        <v>30</v>
      </c>
      <c r="G78" s="5"/>
      <c r="H78" s="5"/>
      <c r="I78" s="5" t="s">
        <v>30</v>
      </c>
    </row>
    <row r="79" spans="1:9" x14ac:dyDescent="0.25">
      <c r="A79" s="8">
        <v>76</v>
      </c>
      <c r="B79" s="9">
        <v>0.78125</v>
      </c>
      <c r="C79" s="9">
        <v>0.79166666666666696</v>
      </c>
      <c r="D79" s="5"/>
      <c r="E79" s="5"/>
      <c r="F79" s="5" t="s">
        <v>30</v>
      </c>
      <c r="G79" s="5"/>
      <c r="H79" s="5"/>
      <c r="I79" s="5" t="s">
        <v>30</v>
      </c>
    </row>
    <row r="80" spans="1:9" x14ac:dyDescent="0.25">
      <c r="A80" s="8">
        <v>77</v>
      </c>
      <c r="B80" s="9">
        <v>0.79166666666666696</v>
      </c>
      <c r="C80" s="9">
        <v>0.80208333333333304</v>
      </c>
      <c r="D80" s="5"/>
      <c r="E80" s="5"/>
      <c r="F80" s="5" t="s">
        <v>30</v>
      </c>
      <c r="G80" s="5"/>
      <c r="H80" s="5"/>
      <c r="I80" s="5" t="s">
        <v>30</v>
      </c>
    </row>
    <row r="81" spans="1:9" x14ac:dyDescent="0.25">
      <c r="A81" s="8">
        <v>78</v>
      </c>
      <c r="B81" s="9">
        <v>0.80208333333333304</v>
      </c>
      <c r="C81" s="9">
        <v>0.8125</v>
      </c>
      <c r="D81" s="5"/>
      <c r="E81" s="5"/>
      <c r="F81" s="5" t="s">
        <v>30</v>
      </c>
      <c r="G81" s="5"/>
      <c r="H81" s="5"/>
      <c r="I81" s="5" t="s">
        <v>30</v>
      </c>
    </row>
    <row r="82" spans="1:9" x14ac:dyDescent="0.25">
      <c r="A82" s="8">
        <v>79</v>
      </c>
      <c r="B82" s="9">
        <v>0.8125</v>
      </c>
      <c r="C82" s="9">
        <v>0.82291666666666696</v>
      </c>
      <c r="D82" s="5"/>
      <c r="E82" s="5"/>
      <c r="F82" s="5" t="s">
        <v>30</v>
      </c>
      <c r="G82" s="5"/>
      <c r="H82" s="5"/>
      <c r="I82" s="5" t="s">
        <v>30</v>
      </c>
    </row>
    <row r="83" spans="1:9" x14ac:dyDescent="0.25">
      <c r="A83" s="8">
        <v>80</v>
      </c>
      <c r="B83" s="9">
        <v>0.82291666666666696</v>
      </c>
      <c r="C83" s="9">
        <v>0.83333333333333304</v>
      </c>
      <c r="D83" s="5"/>
      <c r="E83" s="5"/>
      <c r="F83" s="5" t="s">
        <v>30</v>
      </c>
      <c r="G83" s="5"/>
      <c r="H83" s="5"/>
      <c r="I83" s="5" t="s">
        <v>30</v>
      </c>
    </row>
    <row r="84" spans="1:9" x14ac:dyDescent="0.25">
      <c r="A84" s="8">
        <v>81</v>
      </c>
      <c r="B84" s="9">
        <v>0.83333333333333304</v>
      </c>
      <c r="C84" s="9">
        <v>0.84375</v>
      </c>
      <c r="D84" s="5"/>
      <c r="E84" s="5"/>
      <c r="F84" s="5" t="s">
        <v>30</v>
      </c>
      <c r="G84" s="5"/>
      <c r="H84" s="5"/>
      <c r="I84" s="5" t="s">
        <v>30</v>
      </c>
    </row>
    <row r="85" spans="1:9" x14ac:dyDescent="0.25">
      <c r="A85" s="8">
        <v>82</v>
      </c>
      <c r="B85" s="9">
        <v>0.84375</v>
      </c>
      <c r="C85" s="9">
        <v>0.85416666666666696</v>
      </c>
      <c r="D85" s="5"/>
      <c r="E85" s="5"/>
      <c r="F85" s="5" t="s">
        <v>30</v>
      </c>
      <c r="G85" s="5"/>
      <c r="H85" s="5"/>
      <c r="I85" s="5" t="s">
        <v>30</v>
      </c>
    </row>
    <row r="86" spans="1:9" x14ac:dyDescent="0.25">
      <c r="A86" s="8">
        <v>83</v>
      </c>
      <c r="B86" s="9">
        <v>0.85416666666666696</v>
      </c>
      <c r="C86" s="9">
        <v>0.86458333333333304</v>
      </c>
      <c r="D86" s="5"/>
      <c r="E86" s="5"/>
      <c r="F86" s="5" t="s">
        <v>30</v>
      </c>
      <c r="G86" s="5"/>
      <c r="H86" s="5"/>
      <c r="I86" s="5" t="s">
        <v>30</v>
      </c>
    </row>
    <row r="87" spans="1:9" x14ac:dyDescent="0.25">
      <c r="A87" s="8">
        <v>84</v>
      </c>
      <c r="B87" s="9">
        <v>0.86458333333333304</v>
      </c>
      <c r="C87" s="9">
        <v>0.875</v>
      </c>
      <c r="D87" s="5"/>
      <c r="E87" s="5"/>
      <c r="F87" s="5" t="s">
        <v>30</v>
      </c>
      <c r="G87" s="5"/>
      <c r="H87" s="5"/>
      <c r="I87" s="5" t="s">
        <v>30</v>
      </c>
    </row>
    <row r="88" spans="1:9" x14ac:dyDescent="0.25">
      <c r="A88" s="8">
        <v>85</v>
      </c>
      <c r="B88" s="9">
        <v>0.875</v>
      </c>
      <c r="C88" s="9">
        <v>0.88541666666666696</v>
      </c>
      <c r="D88" s="5"/>
      <c r="E88" s="5"/>
      <c r="F88" s="5" t="s">
        <v>30</v>
      </c>
      <c r="G88" s="5"/>
      <c r="H88" s="5"/>
      <c r="I88" s="5" t="s">
        <v>30</v>
      </c>
    </row>
    <row r="89" spans="1:9" x14ac:dyDescent="0.25">
      <c r="A89" s="8">
        <v>86</v>
      </c>
      <c r="B89" s="9">
        <v>0.88541666666666696</v>
      </c>
      <c r="C89" s="9">
        <v>0.89583333333333304</v>
      </c>
      <c r="D89" s="5"/>
      <c r="E89" s="5"/>
      <c r="F89" s="5" t="s">
        <v>30</v>
      </c>
      <c r="G89" s="5"/>
      <c r="H89" s="5"/>
      <c r="I89" s="5" t="s">
        <v>30</v>
      </c>
    </row>
    <row r="90" spans="1:9" x14ac:dyDescent="0.25">
      <c r="A90" s="8">
        <v>87</v>
      </c>
      <c r="B90" s="9">
        <v>0.89583333333333304</v>
      </c>
      <c r="C90" s="9">
        <v>0.90625</v>
      </c>
      <c r="D90" s="5"/>
      <c r="E90" s="5"/>
      <c r="F90" s="5" t="s">
        <v>30</v>
      </c>
      <c r="G90" s="5"/>
      <c r="H90" s="5"/>
      <c r="I90" s="5" t="s">
        <v>30</v>
      </c>
    </row>
    <row r="91" spans="1:9" x14ac:dyDescent="0.25">
      <c r="A91" s="8">
        <v>88</v>
      </c>
      <c r="B91" s="9">
        <v>0.90625</v>
      </c>
      <c r="C91" s="9">
        <v>0.91666666666666696</v>
      </c>
      <c r="D91" s="5"/>
      <c r="E91" s="5"/>
      <c r="F91" s="5" t="s">
        <v>30</v>
      </c>
      <c r="G91" s="5"/>
      <c r="H91" s="5"/>
      <c r="I91" s="5" t="s">
        <v>30</v>
      </c>
    </row>
    <row r="92" spans="1:9" x14ac:dyDescent="0.25">
      <c r="A92" s="8">
        <v>89</v>
      </c>
      <c r="B92" s="9">
        <v>0.91666666666666696</v>
      </c>
      <c r="C92" s="9">
        <v>0.92708333333333304</v>
      </c>
      <c r="D92" s="5"/>
      <c r="E92" s="5"/>
      <c r="F92" s="5" t="s">
        <v>30</v>
      </c>
      <c r="G92" s="5"/>
      <c r="H92" s="5"/>
      <c r="I92" s="5" t="s">
        <v>30</v>
      </c>
    </row>
    <row r="93" spans="1:9" x14ac:dyDescent="0.25">
      <c r="A93" s="8">
        <v>90</v>
      </c>
      <c r="B93" s="9">
        <v>0.92708333333333304</v>
      </c>
      <c r="C93" s="9">
        <v>0.9375</v>
      </c>
      <c r="D93" s="5"/>
      <c r="E93" s="5"/>
      <c r="F93" s="5" t="s">
        <v>30</v>
      </c>
      <c r="G93" s="8"/>
      <c r="H93" s="8"/>
      <c r="I93" s="5" t="s">
        <v>30</v>
      </c>
    </row>
    <row r="94" spans="1:9" x14ac:dyDescent="0.25">
      <c r="A94" s="8">
        <v>91</v>
      </c>
      <c r="B94" s="9">
        <v>0.9375</v>
      </c>
      <c r="C94" s="9">
        <v>0.94791666666666696</v>
      </c>
      <c r="D94" s="5"/>
      <c r="E94" s="5"/>
      <c r="F94" s="5" t="s">
        <v>30</v>
      </c>
      <c r="G94" s="5"/>
      <c r="H94" s="5"/>
      <c r="I94" s="5" t="s">
        <v>30</v>
      </c>
    </row>
    <row r="95" spans="1:9" x14ac:dyDescent="0.25">
      <c r="A95" s="8">
        <v>92</v>
      </c>
      <c r="B95" s="9">
        <v>0.94791666666666696</v>
      </c>
      <c r="C95" s="9">
        <v>0.95833333333333304</v>
      </c>
      <c r="D95" s="5"/>
      <c r="E95" s="5"/>
      <c r="F95" s="5" t="s">
        <v>30</v>
      </c>
      <c r="G95" s="5"/>
      <c r="H95" s="5"/>
      <c r="I95" s="5" t="s">
        <v>30</v>
      </c>
    </row>
    <row r="96" spans="1:9" x14ac:dyDescent="0.25">
      <c r="A96" s="8">
        <v>93</v>
      </c>
      <c r="B96" s="9">
        <v>0.95833333333333304</v>
      </c>
      <c r="C96" s="9">
        <v>0.96875</v>
      </c>
      <c r="D96" s="5"/>
      <c r="E96" s="5"/>
      <c r="F96" s="5" t="s">
        <v>30</v>
      </c>
      <c r="G96" s="5"/>
      <c r="H96" s="5"/>
      <c r="I96" s="5" t="s">
        <v>30</v>
      </c>
    </row>
    <row r="97" spans="1:9" x14ac:dyDescent="0.25">
      <c r="A97" s="8">
        <v>94</v>
      </c>
      <c r="B97" s="9">
        <v>0.96875</v>
      </c>
      <c r="C97" s="9">
        <v>0.97916666666666696</v>
      </c>
      <c r="D97" s="5"/>
      <c r="E97" s="5"/>
      <c r="F97" s="5" t="s">
        <v>30</v>
      </c>
      <c r="G97" s="5"/>
      <c r="H97" s="5"/>
      <c r="I97" s="5" t="s">
        <v>30</v>
      </c>
    </row>
    <row r="98" spans="1:9" x14ac:dyDescent="0.25">
      <c r="A98" s="8">
        <v>95</v>
      </c>
      <c r="B98" s="9">
        <v>0.97916666666666696</v>
      </c>
      <c r="C98" s="9">
        <v>0.98958333333333304</v>
      </c>
      <c r="D98" s="5"/>
      <c r="E98" s="5"/>
      <c r="F98" s="5" t="s">
        <v>30</v>
      </c>
      <c r="G98" s="5"/>
      <c r="H98" s="5"/>
      <c r="I98" s="5" t="s">
        <v>30</v>
      </c>
    </row>
    <row r="99" spans="1:9" x14ac:dyDescent="0.25">
      <c r="A99" s="8">
        <v>96</v>
      </c>
      <c r="B99" s="9">
        <v>0.98958333333333304</v>
      </c>
      <c r="C99" s="9">
        <v>1</v>
      </c>
      <c r="D99" s="5"/>
      <c r="E99" s="5"/>
      <c r="F99" s="5" t="s">
        <v>30</v>
      </c>
      <c r="G99" s="5"/>
      <c r="H99" s="5"/>
      <c r="I99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 overview</vt:lpstr>
      <vt:lpstr>Wind</vt:lpstr>
      <vt:lpstr>Solar</vt:lpstr>
      <vt:lpstr>EXPOST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van der Meulen</dc:creator>
  <cp:lastModifiedBy>Maarten van der Meulen</cp:lastModifiedBy>
  <dcterms:created xsi:type="dcterms:W3CDTF">2025-12-24T08:27:52Z</dcterms:created>
  <dcterms:modified xsi:type="dcterms:W3CDTF">2026-03-17T07:31:22Z</dcterms:modified>
</cp:coreProperties>
</file>